
<file path=[Content_Types].xml><?xml version="1.0" encoding="utf-8"?>
<Types xmlns="http://schemas.openxmlformats.org/package/2006/content-types">
  <Default Extension="xml" ContentType="application/xml"/>
  <Default Extension="jpeg" ContentType="image/jpeg"/>
  <Default Extension="JPG" ContentType="image/.jpg"/>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<sst xmlns="http://schemas.openxmlformats.org/spreadsheetml/2006/main" count="105" uniqueCount="56">
  <si>
    <t>STORE DETAILS:
店铺名称：</t>
  </si>
  <si>
    <t>JW PEI Direct</t>
  </si>
  <si>
    <t>ORDER DATE:
订单创建日期：</t>
  </si>
  <si>
    <t>CONTACT PERSON INFO:
联系人信息：</t>
  </si>
  <si>
    <t>李亚南15302610997</t>
  </si>
  <si>
    <t>SHIPMENT ID:
订单装运编号
（FBA号码）：</t>
  </si>
  <si>
    <t>FBA15M0SMBPF</t>
  </si>
  <si>
    <t>IMPORTER / VAT NO.:
进口商/增值税编号:</t>
  </si>
  <si>
    <t>Aiduk order#:
Aiduk订单号：</t>
  </si>
  <si>
    <t>AZS000008159</t>
  </si>
  <si>
    <t>DESTINATION FC COD：
目的地编号：</t>
  </si>
  <si>
    <t>RUH8</t>
  </si>
  <si>
    <t>PACKING LIST &amp; INVOICE
装箱单&amp;发票</t>
  </si>
  <si>
    <t>Product Name (in English)
产品名称（英文）</t>
  </si>
  <si>
    <t>Product Name (in Chinese)
产品名称（中文）</t>
  </si>
  <si>
    <t>Carton No.
亚马逊箱标签号码</t>
  </si>
  <si>
    <t>Brand
品牌</t>
  </si>
  <si>
    <t>HS CODE
产品代码</t>
  </si>
  <si>
    <t>Cartons
箱数</t>
  </si>
  <si>
    <t>Quantity(units)
产品数量</t>
  </si>
  <si>
    <t>Total GW(KG)
箱子净重（KG)</t>
  </si>
  <si>
    <t>L*W*H(CM)
箱规（长*宽*高）</t>
  </si>
  <si>
    <t>Unit  Price                     (USD)
单件货物价值（美元）</t>
  </si>
  <si>
    <t>Total Price                 (USD)
总箱货物价值（美元）</t>
  </si>
  <si>
    <t>Product picture
产品图片</t>
  </si>
  <si>
    <t>Electricity
是否内涵锂电池
(Y/N)</t>
  </si>
  <si>
    <t>Powder/liquid
是否内含粉末或液体
(Y/N、N/Y、Y/Y、N/N)</t>
  </si>
  <si>
    <t>手提包</t>
  </si>
  <si>
    <t>Handbag</t>
  </si>
  <si>
    <t>FBA15M0SMBPFU000001</t>
  </si>
  <si>
    <t>JW PEI</t>
  </si>
  <si>
    <t>4202220000</t>
  </si>
  <si>
    <t>57.5*31.5*61</t>
  </si>
  <si>
    <t>N</t>
  </si>
  <si>
    <t>N/N</t>
  </si>
  <si>
    <t>2T192-1</t>
  </si>
  <si>
    <t>FBA15M0SMBPFU000002</t>
  </si>
  <si>
    <t>2T192-32</t>
  </si>
  <si>
    <t>FBA15M0SMBPFU000003</t>
  </si>
  <si>
    <t>FBA15M0SMBPFU000004</t>
  </si>
  <si>
    <t>56*32*56.5</t>
  </si>
  <si>
    <t>2T321-1</t>
  </si>
  <si>
    <t>FBA15M0SMBPFU000005</t>
  </si>
  <si>
    <t>FBA15M0SMBPFU000006</t>
  </si>
  <si>
    <t>48*46.5*58.5</t>
  </si>
  <si>
    <t>4B48-31</t>
  </si>
  <si>
    <t>FBA15M0SMBPFU000007</t>
  </si>
  <si>
    <t>51*42.3*57</t>
  </si>
  <si>
    <t>JH306B04-12</t>
  </si>
  <si>
    <t>FBA15M0SMBPFU000008</t>
  </si>
  <si>
    <t>TOTAL：
合计：</t>
  </si>
  <si>
    <t>REMARKS:
备注：</t>
  </si>
  <si>
    <t>1. Must provide packing list and Inv and accurate product names in Chinese and English, as well as clear physical pictures;
1.必须提供中英文的包装清单和产品名称，以及清晰的实物图片;</t>
  </si>
  <si>
    <t>2. If there is a brand, live, plug, liquid, powder, etc., please indicate in the remarks column.
2. 如有品牌、活物、插头、液体、粉末等，请在备注栏中注明。</t>
  </si>
  <si>
    <t>3. Each product needs to have "Made In China", and the requirements of each type of product may be different, such as: mobile phone accessories products, made in China printed on the box; textiles, such as shoes, clothes, bags, etc. must have Made in China for washing water mark; Made In China with engraving or watermark for watches.
3.每种产品都需要有“中国制造”的标志，而且每种产品的要求可能不同，例如: 手机配件产品，需印在盒子上的中国制造; 纺织品，例如：鞋、衣服、包等，必须有“中国制造”的洗涤唛头; 手表需有雕刻或水印的“中国制造”。</t>
  </si>
  <si>
    <t>4. Products not accepted: imitation brand products, products that conflict with Saudi religion, and products listed as prohibited by the Saudi government, such as: laser products, walkie-talkies, drones, cameras (surveillance products), cameras, Wireless routers, electronic cigarettes, Qurans, liquids, vapors, powders, medicines, health products, electric shock sticks, food, corrosive materials, flammable and explosive materials, munitions, weapons and offensive goods, and all adult toys ( Also known as sex toys), sex underwear, and other prohibited items, do not check items prohibited by airlines. Note: Please pay special attention to all products with cameras and lasers.
4.不接受的产品: 仿制品、与沙特宗教相冲突的产品、沙特政府禁止的产品，如: 激光产品、对讲机、无人机、摄像头(监控产品)、摄像头、无线路由器、电子烟、可兰经、液体、蒸汽、粉末、药品、保健品、电击棒、食品、腐蚀性材料、易燃易爆材料、军火、武器和进攻性物品，以及所有成人玩具(也称性玩具)、性内衣等，及其他航空公司禁止的物品。请特别注意：所有带照相机和激光器的产品。</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</si>
</sst>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_ "/>
  </numFmts>
  <fonts count="43">
    <font>
      <sz val="11"/>
      <color theme="1"/>
      <name val="宋体"/>
      <charset val="134"/>
      <scheme val="minor"/>
    </font>
    <font>
      <sz val="11"/>
      <color indexed="8"/>
      <name val="Arial"/>
      <charset val="134"/>
    </font>
    <font>
      <sz val="14"/>
      <name val="Arial"/>
      <charset val="134"/>
    </font>
    <font>
      <sz val="11"/>
      <name val="Arial"/>
      <charset val="134"/>
    </font>
    <font>
      <b/>
      <sz val="28"/>
      <color indexed="8"/>
      <name val="Arial"/>
      <charset val="134"/>
    </font>
    <font>
      <b/>
      <sz val="16"/>
      <name val="Arial"/>
      <charset val="134"/>
    </font>
    <font>
      <b/>
      <sz val="14"/>
      <name val="Arial"/>
      <charset val="134"/>
    </font>
    <font>
      <b/>
      <sz val="14"/>
      <name val="宋体"/>
      <charset val="134"/>
    </font>
    <font>
      <b/>
      <sz val="12"/>
      <name val="Arial"/>
      <charset val="134"/>
    </font>
    <font>
      <b/>
      <sz val="28"/>
      <name val="Arial"/>
      <charset val="134"/>
    </font>
    <font>
      <sz val="14"/>
      <name val="宋体"/>
      <charset val="134"/>
    </font>
    <font>
      <sz val="14"/>
      <color theme="1"/>
      <name val="宋体"/>
      <charset val="134"/>
    </font>
    <font>
      <sz val="14"/>
      <color indexed="8"/>
      <name val="宋体"/>
      <charset val="134"/>
    </font>
    <font>
      <sz val="14"/>
      <color theme="1"/>
      <name val="宋体"/>
      <charset val="134"/>
      <scheme val="minor"/>
    </font>
    <font>
      <sz val="12"/>
      <color theme="1"/>
      <name val="宋体"/>
      <charset val="134"/>
      <scheme val="minor"/>
    </font>
    <font>
      <b/>
      <sz val="14"/>
      <color rgb="FFFF0000"/>
      <name val="Arial"/>
      <charset val="134"/>
    </font>
    <font>
      <sz val="11"/>
      <color rgb="FFFF0000"/>
      <name val="Arial"/>
      <charset val="134"/>
    </font>
    <font>
      <b/>
      <sz val="16"/>
      <color indexed="8"/>
      <name val="Arial"/>
      <charset val="134"/>
    </font>
    <font>
      <sz val="16"/>
      <color rgb="FFFF0000"/>
      <name val="Arial"/>
      <charset val="134"/>
    </font>
    <font>
      <b/>
      <sz val="14"/>
      <color indexed="8"/>
      <name val="Arial"/>
      <charset val="134"/>
    </font>
    <font>
      <b/>
      <sz val="14"/>
      <color rgb="FFC00000"/>
      <name val="Arial"/>
      <charset val="134"/>
    </font>
    <font>
      <sz val="12"/>
      <color indexed="8"/>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indexed="12"/>
      <name val="宋体"/>
      <charset val="134"/>
    </font>
    <font>
      <sz val="12"/>
      <name val="宋体"/>
      <charset val="134"/>
    </font>
  </fonts>
  <fills count="3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0" fillId="5" borderId="5"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6" applyNumberFormat="0" applyFill="0" applyAlignment="0" applyProtection="0">
      <alignment vertical="center"/>
    </xf>
    <xf numFmtId="0" fontId="28" fillId="0" borderId="6" applyNumberFormat="0" applyFill="0" applyAlignment="0" applyProtection="0">
      <alignment vertical="center"/>
    </xf>
    <xf numFmtId="0" fontId="29" fillId="0" borderId="7" applyNumberFormat="0" applyFill="0" applyAlignment="0" applyProtection="0">
      <alignment vertical="center"/>
    </xf>
    <xf numFmtId="0" fontId="29" fillId="0" borderId="0" applyNumberFormat="0" applyFill="0" applyBorder="0" applyAlignment="0" applyProtection="0">
      <alignment vertical="center"/>
    </xf>
    <xf numFmtId="0" fontId="30" fillId="6" borderId="8" applyNumberFormat="0" applyAlignment="0" applyProtection="0">
      <alignment vertical="center"/>
    </xf>
    <xf numFmtId="0" fontId="31" fillId="7" borderId="9" applyNumberFormat="0" applyAlignment="0" applyProtection="0">
      <alignment vertical="center"/>
    </xf>
    <xf numFmtId="0" fontId="32" fillId="7" borderId="8" applyNumberFormat="0" applyAlignment="0" applyProtection="0">
      <alignment vertical="center"/>
    </xf>
    <xf numFmtId="0" fontId="33" fillId="8" borderId="10" applyNumberFormat="0" applyAlignment="0" applyProtection="0">
      <alignment vertical="center"/>
    </xf>
    <xf numFmtId="0" fontId="34" fillId="0" borderId="11" applyNumberFormat="0" applyFill="0" applyAlignment="0" applyProtection="0">
      <alignment vertical="center"/>
    </xf>
    <xf numFmtId="0" fontId="35" fillId="0" borderId="12" applyNumberFormat="0" applyFill="0" applyAlignment="0" applyProtection="0">
      <alignment vertical="center"/>
    </xf>
    <xf numFmtId="0" fontId="36" fillId="9" borderId="0" applyNumberFormat="0" applyBorder="0" applyAlignment="0" applyProtection="0">
      <alignment vertical="center"/>
    </xf>
    <xf numFmtId="0" fontId="37" fillId="10" borderId="0" applyNumberFormat="0" applyBorder="0" applyAlignment="0" applyProtection="0">
      <alignment vertical="center"/>
    </xf>
    <xf numFmtId="0" fontId="38" fillId="11" borderId="0" applyNumberFormat="0" applyBorder="0" applyAlignment="0" applyProtection="0">
      <alignment vertical="center"/>
    </xf>
    <xf numFmtId="0" fontId="39" fillId="12" borderId="0" applyNumberFormat="0" applyBorder="0" applyAlignment="0" applyProtection="0">
      <alignment vertical="center"/>
    </xf>
    <xf numFmtId="0" fontId="40" fillId="13" borderId="0" applyNumberFormat="0" applyBorder="0" applyAlignment="0" applyProtection="0">
      <alignment vertical="center"/>
    </xf>
    <xf numFmtId="0" fontId="40" fillId="14" borderId="0" applyNumberFormat="0" applyBorder="0" applyAlignment="0" applyProtection="0">
      <alignment vertical="center"/>
    </xf>
    <xf numFmtId="0" fontId="39" fillId="15" borderId="0" applyNumberFormat="0" applyBorder="0" applyAlignment="0" applyProtection="0">
      <alignment vertical="center"/>
    </xf>
    <xf numFmtId="0" fontId="39" fillId="16" borderId="0" applyNumberFormat="0" applyBorder="0" applyAlignment="0" applyProtection="0">
      <alignment vertical="center"/>
    </xf>
    <xf numFmtId="0" fontId="40" fillId="17" borderId="0" applyNumberFormat="0" applyBorder="0" applyAlignment="0" applyProtection="0">
      <alignment vertical="center"/>
    </xf>
    <xf numFmtId="0" fontId="40" fillId="18" borderId="0" applyNumberFormat="0" applyBorder="0" applyAlignment="0" applyProtection="0">
      <alignment vertical="center"/>
    </xf>
    <xf numFmtId="0" fontId="39" fillId="19" borderId="0" applyNumberFormat="0" applyBorder="0" applyAlignment="0" applyProtection="0">
      <alignment vertical="center"/>
    </xf>
    <xf numFmtId="0" fontId="39" fillId="20" borderId="0" applyNumberFormat="0" applyBorder="0" applyAlignment="0" applyProtection="0">
      <alignment vertical="center"/>
    </xf>
    <xf numFmtId="0" fontId="40" fillId="21" borderId="0" applyNumberFormat="0" applyBorder="0" applyAlignment="0" applyProtection="0">
      <alignment vertical="center"/>
    </xf>
    <xf numFmtId="0" fontId="40" fillId="22" borderId="0" applyNumberFormat="0" applyBorder="0" applyAlignment="0" applyProtection="0">
      <alignment vertical="center"/>
    </xf>
    <xf numFmtId="0" fontId="39" fillId="23" borderId="0" applyNumberFormat="0" applyBorder="0" applyAlignment="0" applyProtection="0">
      <alignment vertical="center"/>
    </xf>
    <xf numFmtId="0" fontId="39" fillId="24" borderId="0" applyNumberFormat="0" applyBorder="0" applyAlignment="0" applyProtection="0">
      <alignment vertical="center"/>
    </xf>
    <xf numFmtId="0" fontId="40" fillId="25" borderId="0" applyNumberFormat="0" applyBorder="0" applyAlignment="0" applyProtection="0">
      <alignment vertical="center"/>
    </xf>
    <xf numFmtId="0" fontId="40" fillId="26" borderId="0" applyNumberFormat="0" applyBorder="0" applyAlignment="0" applyProtection="0">
      <alignment vertical="center"/>
    </xf>
    <xf numFmtId="0" fontId="39" fillId="27" borderId="0" applyNumberFormat="0" applyBorder="0" applyAlignment="0" applyProtection="0">
      <alignment vertical="center"/>
    </xf>
    <xf numFmtId="0" fontId="39" fillId="28" borderId="0" applyNumberFormat="0" applyBorder="0" applyAlignment="0" applyProtection="0">
      <alignment vertical="center"/>
    </xf>
    <xf numFmtId="0" fontId="40" fillId="29" borderId="0" applyNumberFormat="0" applyBorder="0" applyAlignment="0" applyProtection="0">
      <alignment vertical="center"/>
    </xf>
    <xf numFmtId="0" fontId="40" fillId="30" borderId="0" applyNumberFormat="0" applyBorder="0" applyAlignment="0" applyProtection="0">
      <alignment vertical="center"/>
    </xf>
    <xf numFmtId="0" fontId="39" fillId="31" borderId="0" applyNumberFormat="0" applyBorder="0" applyAlignment="0" applyProtection="0">
      <alignment vertical="center"/>
    </xf>
    <xf numFmtId="0" fontId="39" fillId="32" borderId="0" applyNumberFormat="0" applyBorder="0" applyAlignment="0" applyProtection="0">
      <alignment vertical="center"/>
    </xf>
    <xf numFmtId="0" fontId="40" fillId="33" borderId="0" applyNumberFormat="0" applyBorder="0" applyAlignment="0" applyProtection="0">
      <alignment vertical="center"/>
    </xf>
    <xf numFmtId="0" fontId="40" fillId="34" borderId="0" applyNumberFormat="0" applyBorder="0" applyAlignment="0" applyProtection="0">
      <alignment vertical="center"/>
    </xf>
    <xf numFmtId="0" fontId="39" fillId="35" borderId="0" applyNumberFormat="0" applyBorder="0" applyAlignment="0" applyProtection="0">
      <alignment vertical="center"/>
    </xf>
    <xf numFmtId="0" fontId="41" fillId="0" borderId="0" applyNumberFormat="0" applyFill="0" applyBorder="0" applyAlignment="0" applyProtection="0">
      <alignment vertical="center"/>
    </xf>
    <xf numFmtId="0" fontId="42" fillId="0" borderId="0">
      <alignment vertical="center"/>
    </xf>
    <xf numFmtId="0" fontId="42" fillId="0" borderId="0">
      <alignment vertical="center"/>
    </xf>
  </cellStyleXfs>
  <cellXfs count="66">
    <xf numFmtId="0" fontId="0" fillId="0" borderId="0" xfId="0">
      <alignment vertical="center"/>
    </xf>
    <xf numFmtId="0" fontId="1" fillId="0" borderId="0" xfId="0" applyFont="1" applyFill="1" applyAlignment="1">
      <alignment vertical="center"/>
    </xf>
    <xf numFmtId="0" fontId="2" fillId="0" borderId="0" xfId="0" applyFont="1" applyFill="1" applyAlignment="1">
      <alignment vertical="center"/>
    </xf>
    <xf numFmtId="0" fontId="3" fillId="0" borderId="0" xfId="0" applyFont="1" applyFill="1" applyAlignment="1">
      <alignment vertical="center"/>
    </xf>
    <xf numFmtId="0" fontId="1" fillId="0" borderId="0" xfId="0" applyFont="1" applyFill="1" applyAlignment="1">
      <alignment horizontal="center" vertical="center"/>
    </xf>
    <xf numFmtId="0" fontId="4" fillId="0" borderId="0" xfId="0" applyFont="1" applyFill="1" applyAlignment="1">
      <alignment horizontal="center" vertical="center" wrapText="1"/>
    </xf>
    <xf numFmtId="0" fontId="4" fillId="0" borderId="0" xfId="0" applyFont="1" applyFill="1" applyAlignment="1">
      <alignment horizontal="center" vertical="center"/>
    </xf>
    <xf numFmtId="0" fontId="5" fillId="0" borderId="0" xfId="49" applyFont="1" applyFill="1" applyBorder="1" applyAlignment="1" applyProtection="1">
      <alignment horizontal="center" vertical="center"/>
    </xf>
    <xf numFmtId="0" fontId="5" fillId="0" borderId="0" xfId="49" applyFont="1" applyFill="1" applyAlignment="1" applyProtection="1">
      <alignment horizontal="center" vertical="center"/>
    </xf>
    <xf numFmtId="0" fontId="6" fillId="0" borderId="0" xfId="49" applyFont="1" applyFill="1" applyBorder="1" applyAlignment="1" applyProtection="1">
      <alignment vertical="center"/>
    </xf>
    <xf numFmtId="0" fontId="6" fillId="0" borderId="0" xfId="49" applyFont="1" applyFill="1" applyBorder="1" applyAlignment="1" applyProtection="1">
      <alignment horizontal="center" vertical="center"/>
    </xf>
    <xf numFmtId="0" fontId="6" fillId="0" borderId="0" xfId="6" applyFont="1" applyBorder="1" applyAlignment="1" applyProtection="1">
      <alignment horizontal="center" vertical="center"/>
    </xf>
    <xf numFmtId="0" fontId="2" fillId="0" borderId="0" xfId="0" applyFont="1" applyFill="1" applyAlignment="1">
      <alignment horizontal="center" vertical="center"/>
    </xf>
    <xf numFmtId="0" fontId="6" fillId="0" borderId="1" xfId="49" applyFont="1" applyFill="1" applyBorder="1" applyAlignment="1" applyProtection="1">
      <alignment horizontal="left" vertical="center" wrapText="1"/>
    </xf>
    <xf numFmtId="0" fontId="6" fillId="0" borderId="1" xfId="49" applyFont="1" applyFill="1" applyBorder="1" applyAlignment="1" applyProtection="1">
      <alignment horizontal="center" vertical="center"/>
    </xf>
    <xf numFmtId="0" fontId="6" fillId="0" borderId="1" xfId="6" applyFont="1" applyFill="1" applyBorder="1" applyAlignment="1" applyProtection="1">
      <alignment horizontal="center" vertical="center" wrapText="1"/>
    </xf>
    <xf numFmtId="14" fontId="6" fillId="0" borderId="1" xfId="49" applyNumberFormat="1" applyFont="1" applyFill="1" applyBorder="1" applyAlignment="1" applyProtection="1">
      <alignment horizontal="center" vertical="center"/>
    </xf>
    <xf numFmtId="0" fontId="6" fillId="0" borderId="2" xfId="0" applyFont="1" applyFill="1" applyBorder="1" applyAlignment="1">
      <alignment horizontal="left" vertical="center"/>
    </xf>
    <xf numFmtId="0" fontId="6" fillId="0" borderId="0" xfId="0" applyFont="1" applyFill="1" applyBorder="1" applyAlignment="1">
      <alignment horizontal="left" vertical="center"/>
    </xf>
    <xf numFmtId="0" fontId="6" fillId="0" borderId="1" xfId="49" applyFont="1" applyFill="1" applyBorder="1" applyAlignment="1" applyProtection="1">
      <alignment vertical="center" wrapText="1"/>
    </xf>
    <xf numFmtId="0" fontId="7" fillId="0" borderId="1" xfId="49" applyFont="1" applyFill="1" applyBorder="1" applyAlignment="1" applyProtection="1">
      <alignment horizontal="center" vertical="center"/>
    </xf>
    <xf numFmtId="0" fontId="6" fillId="0" borderId="1" xfId="50" applyFont="1" applyFill="1" applyBorder="1" applyAlignment="1">
      <alignment horizontal="center" vertical="center" wrapText="1"/>
    </xf>
    <xf numFmtId="0" fontId="6" fillId="0" borderId="1" xfId="49" applyNumberFormat="1" applyFont="1" applyFill="1" applyBorder="1" applyAlignment="1" applyProtection="1">
      <alignment horizontal="center" vertical="center"/>
    </xf>
    <xf numFmtId="0" fontId="6" fillId="0" borderId="1" xfId="6" applyFont="1" applyFill="1" applyBorder="1" applyAlignment="1" applyProtection="1">
      <alignment horizontal="center" vertical="center"/>
    </xf>
    <xf numFmtId="0" fontId="6" fillId="0" borderId="0" xfId="49" applyFont="1" applyFill="1" applyBorder="1" applyAlignment="1" applyProtection="1">
      <alignment horizontal="left" vertical="center" wrapText="1"/>
    </xf>
    <xf numFmtId="0" fontId="6" fillId="0" borderId="0" xfId="49" applyFont="1" applyFill="1" applyBorder="1" applyAlignment="1" applyProtection="1">
      <alignment horizontal="center" vertical="center" wrapText="1"/>
    </xf>
    <xf numFmtId="0" fontId="6" fillId="0" borderId="0" xfId="6" applyFont="1" applyFill="1" applyBorder="1" applyAlignment="1" applyProtection="1">
      <alignment horizontal="center" vertical="center"/>
    </xf>
    <xf numFmtId="0" fontId="8" fillId="0" borderId="0" xfId="49" applyFont="1" applyAlignment="1" applyProtection="1">
      <alignment vertical="center" wrapText="1"/>
    </xf>
    <xf numFmtId="0" fontId="8" fillId="0" borderId="0" xfId="0" applyFont="1" applyFill="1" applyAlignment="1">
      <alignment vertical="center"/>
    </xf>
    <xf numFmtId="0" fontId="8" fillId="0" borderId="0" xfId="0" applyFont="1" applyFill="1" applyAlignment="1">
      <alignment horizontal="center" vertical="center"/>
    </xf>
    <xf numFmtId="0" fontId="6" fillId="0" borderId="0" xfId="0" applyFont="1" applyFill="1" applyAlignment="1">
      <alignment vertical="center"/>
    </xf>
    <xf numFmtId="0" fontId="9" fillId="0" borderId="0" xfId="0" applyFont="1" applyFill="1" applyAlignment="1">
      <alignment horizontal="center" vertical="center" wrapText="1"/>
    </xf>
    <xf numFmtId="0" fontId="9" fillId="0" borderId="0" xfId="0" applyFont="1" applyFill="1" applyAlignment="1">
      <alignment horizontal="center" vertical="center"/>
    </xf>
    <xf numFmtId="0" fontId="6" fillId="2" borderId="3"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3" borderId="1" xfId="0" applyFont="1" applyFill="1" applyBorder="1" applyAlignment="1">
      <alignment horizontal="center" vertical="center" wrapText="1"/>
    </xf>
    <xf numFmtId="176" fontId="6" fillId="3" borderId="1" xfId="0" applyNumberFormat="1" applyFont="1" applyFill="1" applyBorder="1" applyAlignment="1">
      <alignment horizontal="center" vertical="center" wrapText="1"/>
    </xf>
    <xf numFmtId="176" fontId="6" fillId="2" borderId="1" xfId="0" applyNumberFormat="1" applyFont="1" applyFill="1" applyBorder="1" applyAlignment="1">
      <alignment horizontal="center" vertical="center" wrapText="1"/>
    </xf>
    <xf numFmtId="0" fontId="10" fillId="0" borderId="1" xfId="0" applyFont="1" applyFill="1" applyBorder="1" applyAlignment="1">
      <alignment horizontal="center" vertical="center" wrapText="1"/>
    </xf>
    <xf numFmtId="0" fontId="0" fillId="0" borderId="0" xfId="0" applyFont="1" applyFill="1" applyAlignment="1">
      <alignment horizontal="center" vertical="center"/>
    </xf>
    <xf numFmtId="0" fontId="11" fillId="0" borderId="1" xfId="51" applyFont="1" applyFill="1" applyBorder="1" applyAlignment="1">
      <alignment horizontal="center" vertical="center" wrapText="1"/>
    </xf>
    <xf numFmtId="177" fontId="10" fillId="0" borderId="1" xfId="0" applyNumberFormat="1" applyFont="1" applyFill="1" applyBorder="1" applyAlignment="1">
      <alignment horizontal="center" vertical="center" wrapText="1"/>
    </xf>
    <xf numFmtId="0" fontId="12" fillId="0" borderId="1" xfId="0" applyNumberFormat="1" applyFont="1" applyFill="1" applyBorder="1" applyAlignment="1">
      <alignment horizontal="center" vertical="center"/>
    </xf>
    <xf numFmtId="0" fontId="6" fillId="0" borderId="1" xfId="0" applyFont="1" applyFill="1" applyBorder="1" applyAlignment="1">
      <alignment horizontal="center" vertical="center" wrapText="1"/>
    </xf>
    <xf numFmtId="0" fontId="13" fillId="0" borderId="0" xfId="0" applyFont="1" applyFill="1" applyAlignment="1">
      <alignment horizontal="center" vertical="center"/>
    </xf>
    <xf numFmtId="0" fontId="2" fillId="4" borderId="1" xfId="0" applyFont="1" applyFill="1" applyBorder="1" applyAlignment="1">
      <alignment horizontal="center" vertical="center" wrapText="1"/>
    </xf>
    <xf numFmtId="0" fontId="14" fillId="0" borderId="0" xfId="0" applyFont="1" applyFill="1" applyAlignment="1">
      <alignment horizontal="center" vertical="center"/>
    </xf>
    <xf numFmtId="0" fontId="15" fillId="0" borderId="0" xfId="49" applyFont="1" applyFill="1" applyBorder="1" applyAlignment="1" applyProtection="1">
      <alignment horizontal="left" vertical="center" wrapText="1"/>
    </xf>
    <xf numFmtId="0" fontId="16" fillId="0" borderId="0" xfId="0" applyFont="1" applyFill="1" applyAlignment="1">
      <alignment vertical="center"/>
    </xf>
    <xf numFmtId="0" fontId="16" fillId="0" borderId="0" xfId="0" applyFont="1" applyFill="1" applyAlignment="1">
      <alignment horizontal="center" vertical="center"/>
    </xf>
    <xf numFmtId="0" fontId="15" fillId="0" borderId="0" xfId="0" applyFont="1" applyFill="1" applyAlignment="1">
      <alignment horizontal="left" vertical="center" wrapText="1"/>
    </xf>
    <xf numFmtId="0" fontId="15" fillId="0" borderId="0" xfId="0" applyFont="1" applyFill="1" applyAlignment="1">
      <alignment horizontal="left" vertical="center"/>
    </xf>
    <xf numFmtId="0" fontId="15" fillId="0" borderId="0" xfId="0" applyFont="1" applyFill="1" applyAlignment="1">
      <alignment horizontal="center" vertical="center"/>
    </xf>
    <xf numFmtId="0" fontId="15" fillId="0" borderId="0" xfId="0" applyFont="1" applyFill="1" applyAlignment="1">
      <alignment horizontal="center" vertical="center" wrapText="1"/>
    </xf>
    <xf numFmtId="0" fontId="17" fillId="0" borderId="0" xfId="0" applyFont="1" applyFill="1" applyAlignment="1">
      <alignment vertical="center"/>
    </xf>
    <xf numFmtId="0" fontId="17" fillId="0" borderId="0" xfId="0" applyFont="1" applyFill="1" applyAlignment="1">
      <alignment horizontal="center" vertical="center"/>
    </xf>
    <xf numFmtId="0" fontId="18" fillId="0" borderId="0" xfId="0" applyFont="1" applyFill="1" applyAlignment="1">
      <alignment horizontal="center" vertical="center"/>
    </xf>
    <xf numFmtId="0" fontId="19" fillId="0" borderId="0" xfId="0" applyFont="1" applyFill="1" applyAlignment="1">
      <alignment vertical="center"/>
    </xf>
    <xf numFmtId="0" fontId="19" fillId="0" borderId="0" xfId="0" applyFont="1" applyFill="1" applyAlignment="1">
      <alignment horizontal="center" vertical="center"/>
    </xf>
    <xf numFmtId="0" fontId="6" fillId="0" borderId="0" xfId="0" applyFont="1" applyFill="1" applyAlignment="1">
      <alignment vertical="center" wrapText="1"/>
    </xf>
    <xf numFmtId="0" fontId="6" fillId="0" borderId="0" xfId="0" applyFont="1" applyFill="1" applyAlignment="1">
      <alignment horizontal="left" vertical="center" wrapText="1"/>
    </xf>
    <xf numFmtId="0" fontId="19" fillId="0" borderId="0" xfId="0" applyFont="1" applyFill="1" applyAlignment="1">
      <alignment horizontal="right" vertical="center"/>
    </xf>
    <xf numFmtId="0" fontId="17" fillId="0" borderId="0" xfId="0" applyFont="1" applyFill="1" applyAlignment="1">
      <alignment horizontal="right" vertical="center"/>
    </xf>
    <xf numFmtId="0" fontId="20" fillId="0" borderId="0" xfId="0" applyFont="1" applyFill="1" applyAlignment="1">
      <alignment horizontal="center" vertical="center"/>
    </xf>
    <xf numFmtId="0" fontId="21" fillId="0" borderId="0" xfId="0" applyFont="1" applyFill="1" applyAlignment="1">
      <alignment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超链接_Sheet1_37" xfId="49"/>
    <cellStyle name="常规_Sheet1_18" xfId="50"/>
    <cellStyle name="常规 35"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www.wps.cn/officeDocument/2020/cellImage" Target="cellimag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customXml" Target="../customXml/item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6"/>
  <sheetViews>
    <sheetView tabSelected="1" zoomScale="50" zoomScaleNormal="50" topLeftCell="A3" workbookViewId="0">
      <selection activeCell="A1" sqref="$A1:$XFD1048576"/>
    </sheetView>
  </sheetViews>
  <sheetFormatPr defaultColWidth="8.83333333333333" defaultRowHeight="13.8"/>
  <cols>
    <col min="1" max="1" width="42.3055555555556" style="1" customWidth="1"/>
    <col min="2" max="2" width="34.3333333333333" style="1" customWidth="1"/>
    <col min="3" max="3" width="28.6666666666667" style="1" customWidth="1"/>
    <col min="4" max="4" width="19.3333333333333" style="1" customWidth="1"/>
    <col min="5" max="5" width="23.8333333333333" style="1" customWidth="1"/>
    <col min="6" max="6" width="22.4537037037037" style="1" customWidth="1"/>
    <col min="7" max="7" width="19.6666666666667" style="4" customWidth="1"/>
    <col min="8" max="8" width="24.3703703703704" style="4" customWidth="1"/>
    <col min="9" max="9" width="28.5" style="4" customWidth="1"/>
    <col min="10" max="10" width="27.2592592592593" style="1" customWidth="1"/>
    <col min="11" max="11" width="25.6851851851852" style="1" customWidth="1"/>
    <col min="12" max="13" width="21.8333333333333" style="1" customWidth="1"/>
    <col min="14" max="14" width="26.8148148148148" style="1" customWidth="1"/>
    <col min="15" max="15" width="15" style="1" customWidth="1"/>
    <col min="16" max="16" width="8.83333333333333" style="1" customWidth="1"/>
    <col min="17" max="17" width="15.8333333333333" style="1" customWidth="1"/>
    <col min="18" max="16384" width="8.83333333333333" style="1"/>
  </cols>
  <sheetData>
    <row r="1" s="1" customFormat="1" hidden="1" spans="1:15">
      <c r="A1" s="5"/>
      <c r="B1" s="5"/>
      <c r="C1" s="6"/>
      <c r="D1" s="6"/>
      <c r="E1" s="6"/>
      <c r="F1" s="6"/>
      <c r="G1" s="6"/>
      <c r="H1" s="6"/>
      <c r="I1" s="6"/>
      <c r="J1" s="6"/>
      <c r="K1" s="6"/>
    </row>
    <row r="2" s="1" customFormat="1" ht="10.25" hidden="1" customHeight="1" spans="1:15">
      <c r="A2" s="6"/>
      <c r="B2" s="6"/>
      <c r="C2" s="6"/>
      <c r="D2" s="6"/>
      <c r="E2" s="6"/>
      <c r="F2" s="6"/>
      <c r="G2" s="6"/>
      <c r="H2" s="6"/>
      <c r="I2" s="6"/>
      <c r="J2" s="6"/>
      <c r="K2" s="6"/>
    </row>
    <row r="3" s="2" customFormat="1" ht="16.75" customHeight="1" spans="1:15">
      <c r="A3" s="7"/>
      <c r="B3" s="7"/>
      <c r="C3" s="7"/>
      <c r="D3" s="7"/>
      <c r="E3" s="7"/>
      <c r="F3" s="7"/>
      <c r="G3" s="7"/>
      <c r="H3" s="7"/>
      <c r="I3" s="7"/>
      <c r="J3" s="8"/>
      <c r="K3" s="8"/>
    </row>
    <row r="4" s="2" customFormat="1" ht="23.75" customHeight="1" spans="1:15">
      <c r="A4" s="9"/>
      <c r="B4" s="9"/>
      <c r="C4" s="10"/>
      <c r="D4" s="10"/>
      <c r="E4" s="10"/>
      <c r="F4" s="10"/>
      <c r="G4" s="10"/>
      <c r="H4" s="11"/>
      <c r="I4" s="11"/>
      <c r="J4" s="12"/>
      <c r="K4" s="12"/>
      <c r="L4" s="12"/>
      <c r="M4" s="12"/>
      <c r="N4" s="12"/>
    </row>
    <row r="5" s="2" customFormat="1" ht="41" customHeight="1" spans="1:15">
      <c r="A5" s="13" t="s">
        <v>0</v>
      </c>
      <c r="B5" s="14" t="s">
        <v>1</v>
      </c>
      <c r="C5" s="14"/>
      <c r="D5" s="14"/>
      <c r="E5" s="14"/>
      <c r="F5" s="14"/>
      <c r="G5" s="10"/>
      <c r="H5" s="15" t="s">
        <v>2</v>
      </c>
      <c r="I5" s="16">
        <v>46219</v>
      </c>
      <c r="J5" s="17"/>
      <c r="K5" s="18"/>
      <c r="L5" s="18"/>
      <c r="M5" s="18"/>
      <c r="N5" s="18"/>
    </row>
    <row r="6" s="2" customFormat="1" ht="60" customHeight="1" spans="1:15">
      <c r="A6" s="19" t="s">
        <v>3</v>
      </c>
      <c r="B6" s="20" t="s">
        <v>4</v>
      </c>
      <c r="C6" s="14"/>
      <c r="D6" s="14"/>
      <c r="E6" s="14"/>
      <c r="F6" s="14"/>
      <c r="G6" s="10"/>
      <c r="H6" s="21" t="s">
        <v>5</v>
      </c>
      <c r="I6" s="22" t="s">
        <v>6</v>
      </c>
      <c r="J6" s="17"/>
      <c r="K6" s="18"/>
      <c r="L6" s="18"/>
      <c r="M6" s="18"/>
      <c r="N6" s="18"/>
    </row>
    <row r="7" s="2" customFormat="1" ht="46" customHeight="1" spans="1:15">
      <c r="A7" s="13" t="s">
        <v>7</v>
      </c>
      <c r="B7" s="14"/>
      <c r="C7" s="14"/>
      <c r="D7" s="14"/>
      <c r="E7" s="14"/>
      <c r="F7" s="14"/>
      <c r="G7" s="10"/>
      <c r="H7" s="15" t="s">
        <v>8</v>
      </c>
      <c r="I7" s="23" t="s">
        <v>9</v>
      </c>
      <c r="J7" s="17"/>
      <c r="K7" s="18"/>
      <c r="L7" s="18"/>
      <c r="M7" s="18"/>
      <c r="N7" s="18"/>
    </row>
    <row r="8" s="2" customFormat="1" ht="61" customHeight="1" spans="1:15">
      <c r="A8" s="24"/>
      <c r="B8" s="24"/>
      <c r="C8" s="10"/>
      <c r="D8" s="10"/>
      <c r="E8" s="10"/>
      <c r="F8" s="10"/>
      <c r="G8" s="25"/>
      <c r="H8" s="15" t="s">
        <v>10</v>
      </c>
      <c r="I8" s="23" t="s">
        <v>11</v>
      </c>
      <c r="J8" s="17"/>
      <c r="K8" s="18"/>
      <c r="L8" s="18"/>
      <c r="M8" s="18"/>
      <c r="N8" s="18"/>
    </row>
    <row r="9" s="2" customFormat="1" ht="23.75" customHeight="1" spans="1:15">
      <c r="C9" s="10"/>
      <c r="D9" s="10"/>
      <c r="E9" s="10"/>
      <c r="F9" s="10"/>
      <c r="G9" s="25"/>
      <c r="H9" s="26"/>
      <c r="I9" s="26"/>
      <c r="J9" s="12"/>
      <c r="K9" s="12"/>
      <c r="L9" s="12"/>
      <c r="M9" s="12"/>
      <c r="N9" s="12"/>
    </row>
    <row r="10" s="3" customFormat="1" ht="9" customHeight="1" spans="1:15">
      <c r="A10" s="27"/>
      <c r="B10" s="27"/>
      <c r="C10" s="28"/>
      <c r="D10" s="28"/>
      <c r="E10" s="28"/>
      <c r="F10" s="28"/>
      <c r="G10" s="29"/>
      <c r="H10" s="29"/>
      <c r="I10" s="29"/>
      <c r="J10" s="30"/>
      <c r="K10" s="28"/>
    </row>
    <row r="11" s="3" customFormat="1" ht="87" customHeight="1" spans="1:15">
      <c r="A11" s="31" t="s">
        <v>12</v>
      </c>
      <c r="B11" s="32"/>
      <c r="C11" s="32"/>
      <c r="D11" s="32"/>
      <c r="E11" s="32"/>
      <c r="F11" s="32"/>
      <c r="G11" s="32"/>
      <c r="H11" s="32"/>
      <c r="I11" s="32"/>
      <c r="J11" s="32"/>
      <c r="K11" s="32"/>
      <c r="L11" s="32"/>
      <c r="M11" s="32"/>
      <c r="N11" s="32"/>
    </row>
    <row r="12" s="3" customFormat="1" ht="9.75" customHeight="1" spans="1:15">
      <c r="A12" s="28"/>
      <c r="B12" s="28"/>
      <c r="C12" s="28"/>
      <c r="D12" s="28"/>
      <c r="E12" s="28"/>
      <c r="F12" s="28"/>
      <c r="G12" s="29"/>
      <c r="H12" s="29"/>
      <c r="I12" s="29"/>
      <c r="J12" s="28"/>
      <c r="K12" s="28"/>
    </row>
    <row r="13" s="2" customFormat="1" ht="56.75" customHeight="1" spans="1:15">
      <c r="A13" s="33" t="s">
        <v>13</v>
      </c>
      <c r="B13" s="33" t="s">
        <v>14</v>
      </c>
      <c r="C13" s="34" t="s">
        <v>15</v>
      </c>
      <c r="D13" s="35" t="s">
        <v>16</v>
      </c>
      <c r="E13" s="36" t="s">
        <v>17</v>
      </c>
      <c r="F13" s="34" t="s">
        <v>18</v>
      </c>
      <c r="G13" s="34" t="s">
        <v>19</v>
      </c>
      <c r="H13" s="34" t="s">
        <v>20</v>
      </c>
      <c r="I13" s="34" t="s">
        <v>21</v>
      </c>
      <c r="J13" s="36" t="s">
        <v>22</v>
      </c>
      <c r="K13" s="37" t="s">
        <v>23</v>
      </c>
      <c r="L13" s="38" t="s">
        <v>24</v>
      </c>
      <c r="M13" s="38" t="s">
        <v>25</v>
      </c>
      <c r="N13" s="38" t="s">
        <v>26</v>
      </c>
    </row>
    <row r="14" s="2" customFormat="1" ht="88" customHeight="1" spans="1:15">
      <c r="A14" s="39" t="s">
        <v>27</v>
      </c>
      <c r="B14" s="39" t="s">
        <v>28</v>
      </c>
      <c r="C14" s="40" t="s">
        <v>29</v>
      </c>
      <c r="D14" s="39" t="s">
        <v>30</v>
      </c>
      <c r="E14" s="41" t="s">
        <v>31</v>
      </c>
      <c r="F14" s="40">
        <v>1</v>
      </c>
      <c r="G14" s="40">
        <v>12</v>
      </c>
      <c r="H14" s="40">
        <v>10.9</v>
      </c>
      <c r="I14" s="40" t="s">
        <v>32</v>
      </c>
      <c r="J14" s="42">
        <v>17.7142857142857</v>
      </c>
      <c r="K14" s="42">
        <v>212.571428571428</v>
      </c>
      <c r="L14" s="43" t="str">
        <f>_xlfn.DISPIMG("ID_4C45EB201594414D915D1504B9795499",1)</f>
        <v>=DISPIMG("ID_4C45EB201594414D915D1504B9795499",1)</v>
      </c>
      <c r="M14" s="39" t="s">
        <v>33</v>
      </c>
      <c r="N14" s="39" t="s">
        <v>34</v>
      </c>
      <c r="O14" s="40" t="s">
        <v>35</v>
      </c>
    </row>
    <row r="15" s="2" customFormat="1" ht="46" customHeight="1" spans="1:15">
      <c r="A15" s="39" t="s">
        <v>27</v>
      </c>
      <c r="B15" s="39" t="s">
        <v>28</v>
      </c>
      <c r="C15" s="40" t="s">
        <v>36</v>
      </c>
      <c r="D15" s="39" t="s">
        <v>30</v>
      </c>
      <c r="E15" s="41" t="s">
        <v>31</v>
      </c>
      <c r="F15" s="40">
        <v>1</v>
      </c>
      <c r="G15" s="40">
        <v>12</v>
      </c>
      <c r="H15" s="40">
        <v>10.9</v>
      </c>
      <c r="I15" s="40" t="s">
        <v>32</v>
      </c>
      <c r="J15" s="42">
        <v>17.7142857142857</v>
      </c>
      <c r="K15" s="42">
        <v>212.571428571428</v>
      </c>
      <c r="L15" s="43" t="str">
        <f>_xlfn.DISPIMG("ID_4845BEDD240F4998A409EAE95627F5F9",1)</f>
        <v>=DISPIMG("ID_4845BEDD240F4998A409EAE95627F5F9",1)</v>
      </c>
      <c r="M15" s="39" t="s">
        <v>33</v>
      </c>
      <c r="N15" s="39" t="s">
        <v>34</v>
      </c>
      <c r="O15" s="40" t="s">
        <v>37</v>
      </c>
    </row>
    <row r="16" s="2" customFormat="1" ht="46" customHeight="1" spans="1:15">
      <c r="A16" s="39" t="s">
        <v>27</v>
      </c>
      <c r="B16" s="39" t="s">
        <v>28</v>
      </c>
      <c r="C16" s="40" t="s">
        <v>38</v>
      </c>
      <c r="D16" s="39" t="s">
        <v>30</v>
      </c>
      <c r="E16" s="41" t="s">
        <v>31</v>
      </c>
      <c r="F16" s="40">
        <v>1</v>
      </c>
      <c r="G16" s="40">
        <v>12</v>
      </c>
      <c r="H16" s="40">
        <v>10.9</v>
      </c>
      <c r="I16" s="40" t="s">
        <v>32</v>
      </c>
      <c r="J16" s="42">
        <v>17.7142857142857</v>
      </c>
      <c r="K16" s="42">
        <v>212.571428571428</v>
      </c>
      <c r="L16" s="43" t="str">
        <f>_xlfn.DISPIMG("ID_4845BEDD240F4998A409EAE95627F5F9",1)</f>
        <v>=DISPIMG("ID_4845BEDD240F4998A409EAE95627F5F9",1)</v>
      </c>
      <c r="M16" s="39" t="s">
        <v>33</v>
      </c>
      <c r="N16" s="39" t="s">
        <v>34</v>
      </c>
      <c r="O16" s="40" t="s">
        <v>37</v>
      </c>
    </row>
    <row r="17" s="2" customFormat="1" ht="46" customHeight="1" spans="1:15">
      <c r="A17" s="39" t="s">
        <v>27</v>
      </c>
      <c r="B17" s="39" t="s">
        <v>28</v>
      </c>
      <c r="C17" s="40" t="s">
        <v>39</v>
      </c>
      <c r="D17" s="39" t="s">
        <v>30</v>
      </c>
      <c r="E17" s="41" t="s">
        <v>31</v>
      </c>
      <c r="F17" s="40">
        <v>1</v>
      </c>
      <c r="G17" s="40">
        <v>19</v>
      </c>
      <c r="H17" s="40">
        <v>10.9</v>
      </c>
      <c r="I17" s="40" t="s">
        <v>40</v>
      </c>
      <c r="J17" s="42">
        <v>19.1428571428571</v>
      </c>
      <c r="K17" s="42">
        <v>363.714285714285</v>
      </c>
      <c r="L17" s="43" t="str">
        <f>_xlfn.DISPIMG("ID_4044FAE9DFDD42F19BC227E1D247712F",1)</f>
        <v>=DISPIMG("ID_4044FAE9DFDD42F19BC227E1D247712F",1)</v>
      </c>
      <c r="M17" s="39" t="s">
        <v>33</v>
      </c>
      <c r="N17" s="39" t="s">
        <v>34</v>
      </c>
      <c r="O17" s="40" t="s">
        <v>41</v>
      </c>
    </row>
    <row r="18" s="2" customFormat="1" ht="46" customHeight="1" spans="1:15">
      <c r="A18" s="39" t="s">
        <v>27</v>
      </c>
      <c r="B18" s="39" t="s">
        <v>28</v>
      </c>
      <c r="C18" s="40" t="s">
        <v>42</v>
      </c>
      <c r="D18" s="39" t="s">
        <v>30</v>
      </c>
      <c r="E18" s="41" t="s">
        <v>31</v>
      </c>
      <c r="F18" s="40">
        <v>1</v>
      </c>
      <c r="G18" s="40">
        <v>19</v>
      </c>
      <c r="H18" s="40">
        <v>10.9</v>
      </c>
      <c r="I18" s="40" t="s">
        <v>40</v>
      </c>
      <c r="J18" s="42">
        <v>19.1428571428571</v>
      </c>
      <c r="K18" s="42">
        <v>363.714285714285</v>
      </c>
      <c r="L18" s="43" t="str">
        <f>_xlfn.DISPIMG("ID_4044FAE9DFDD42F19BC227E1D247712F",1)</f>
        <v>=DISPIMG("ID_4044FAE9DFDD42F19BC227E1D247712F",1)</v>
      </c>
      <c r="M18" s="39" t="s">
        <v>33</v>
      </c>
      <c r="N18" s="39" t="s">
        <v>34</v>
      </c>
      <c r="O18" s="40" t="s">
        <v>41</v>
      </c>
    </row>
    <row r="19" s="2" customFormat="1" ht="46" customHeight="1" spans="1:15">
      <c r="A19" s="39" t="s">
        <v>27</v>
      </c>
      <c r="B19" s="39" t="s">
        <v>28</v>
      </c>
      <c r="C19" s="40" t="s">
        <v>43</v>
      </c>
      <c r="D19" s="39" t="s">
        <v>30</v>
      </c>
      <c r="E19" s="41" t="s">
        <v>31</v>
      </c>
      <c r="F19" s="40">
        <v>1</v>
      </c>
      <c r="G19" s="40">
        <v>16</v>
      </c>
      <c r="H19" s="40">
        <v>12.1</v>
      </c>
      <c r="I19" s="40" t="s">
        <v>44</v>
      </c>
      <c r="J19" s="42">
        <v>21.2857142857143</v>
      </c>
      <c r="K19" s="42">
        <v>340.571428571429</v>
      </c>
      <c r="L19" s="43" t="str">
        <f>_xlfn.DISPIMG("ID_18C07C67F37E4709837D6289580E13D2",1)</f>
        <v>=DISPIMG("ID_18C07C67F37E4709837D6289580E13D2",1)</v>
      </c>
      <c r="M19" s="39" t="s">
        <v>33</v>
      </c>
      <c r="N19" s="39" t="s">
        <v>34</v>
      </c>
      <c r="O19" s="40" t="s">
        <v>45</v>
      </c>
    </row>
    <row r="20" s="2" customFormat="1" ht="46" customHeight="1" spans="1:15">
      <c r="A20" s="39" t="s">
        <v>27</v>
      </c>
      <c r="B20" s="39" t="s">
        <v>28</v>
      </c>
      <c r="C20" s="40" t="s">
        <v>46</v>
      </c>
      <c r="D20" s="39" t="s">
        <v>30</v>
      </c>
      <c r="E20" s="41" t="s">
        <v>31</v>
      </c>
      <c r="F20" s="40">
        <v>1</v>
      </c>
      <c r="G20" s="40">
        <v>8</v>
      </c>
      <c r="H20" s="40">
        <v>10.2</v>
      </c>
      <c r="I20" s="40" t="s">
        <v>47</v>
      </c>
      <c r="J20" s="42">
        <v>19.6642857142857</v>
      </c>
      <c r="K20" s="42">
        <v>157.314285714286</v>
      </c>
      <c r="L20" s="43" t="str">
        <f>_xlfn.DISPIMG("ID_7A8E3D3EAC2346D092098322AA648520",1)</f>
        <v>=DISPIMG("ID_7A8E3D3EAC2346D092098322AA648520",1)</v>
      </c>
      <c r="M20" s="39" t="s">
        <v>33</v>
      </c>
      <c r="N20" s="39" t="s">
        <v>34</v>
      </c>
      <c r="O20" s="40" t="s">
        <v>48</v>
      </c>
    </row>
    <row r="21" s="2" customFormat="1" ht="46" customHeight="1" spans="1:15">
      <c r="A21" s="39" t="s">
        <v>27</v>
      </c>
      <c r="B21" s="39" t="s">
        <v>28</v>
      </c>
      <c r="C21" s="40" t="s">
        <v>49</v>
      </c>
      <c r="D21" s="39" t="s">
        <v>30</v>
      </c>
      <c r="E21" s="41" t="s">
        <v>31</v>
      </c>
      <c r="F21" s="40">
        <v>1</v>
      </c>
      <c r="G21" s="40">
        <v>8</v>
      </c>
      <c r="H21" s="40">
        <v>10.2</v>
      </c>
      <c r="I21" s="40" t="s">
        <v>47</v>
      </c>
      <c r="J21" s="42">
        <v>19.6642857142857</v>
      </c>
      <c r="K21" s="42">
        <v>157.314285714286</v>
      </c>
      <c r="L21" s="43" t="str">
        <f>_xlfn.DISPIMG("ID_7A8E3D3EAC2346D092098322AA648520",1)</f>
        <v>=DISPIMG("ID_7A8E3D3EAC2346D092098322AA648520",1)</v>
      </c>
      <c r="M21" s="39" t="s">
        <v>33</v>
      </c>
      <c r="N21" s="39" t="s">
        <v>34</v>
      </c>
      <c r="O21" s="40" t="s">
        <v>48</v>
      </c>
    </row>
    <row r="22" s="2" customFormat="1" ht="46" customHeight="1" spans="1:15">
      <c r="A22" s="44" t="s">
        <v>50</v>
      </c>
      <c r="B22" s="44"/>
      <c r="C22" s="44"/>
      <c r="D22" s="39"/>
      <c r="E22" s="41"/>
      <c r="F22" s="12">
        <v>8</v>
      </c>
      <c r="G22" s="45">
        <v>106</v>
      </c>
      <c r="H22" s="46">
        <v>87</v>
      </c>
      <c r="I22" s="47"/>
      <c r="J22" s="42">
        <v>152.042857142857</v>
      </c>
      <c r="K22" s="42">
        <v>2020.34285714286</v>
      </c>
      <c r="L22" s="43"/>
      <c r="M22" s="39"/>
      <c r="N22" s="39"/>
    </row>
    <row r="24" s="1" customFormat="1" ht="36" customHeight="1" spans="1:15">
      <c r="A24" s="48" t="s">
        <v>51</v>
      </c>
      <c r="B24" s="48"/>
      <c r="C24" s="48"/>
      <c r="D24" s="49"/>
      <c r="E24" s="49"/>
      <c r="F24" s="49"/>
      <c r="G24" s="50"/>
      <c r="H24" s="50"/>
      <c r="I24" s="50"/>
      <c r="J24" s="49"/>
      <c r="K24" s="49"/>
      <c r="L24" s="49"/>
      <c r="M24" s="49"/>
      <c r="N24" s="49"/>
    </row>
    <row r="25" s="1" customFormat="1" ht="36.75" customHeight="1" spans="1:15">
      <c r="A25" s="51" t="s">
        <v>52</v>
      </c>
      <c r="B25" s="52"/>
      <c r="C25" s="52"/>
      <c r="D25" s="52"/>
      <c r="E25" s="52"/>
      <c r="F25" s="52"/>
      <c r="G25" s="53"/>
      <c r="H25" s="53"/>
      <c r="I25" s="53"/>
      <c r="J25" s="52"/>
      <c r="K25" s="52"/>
      <c r="L25" s="52"/>
      <c r="M25" s="52"/>
      <c r="N25" s="52"/>
    </row>
    <row r="26" s="1" customFormat="1" ht="70" customHeight="1" spans="1:15">
      <c r="A26" s="51" t="s">
        <v>53</v>
      </c>
      <c r="B26" s="51"/>
      <c r="C26" s="51"/>
      <c r="D26" s="51"/>
      <c r="E26" s="51"/>
      <c r="F26" s="51"/>
      <c r="G26" s="54"/>
      <c r="H26" s="54"/>
      <c r="I26" s="54"/>
      <c r="J26" s="51"/>
      <c r="K26" s="51"/>
      <c r="L26" s="51"/>
      <c r="M26" s="51"/>
      <c r="N26" s="51"/>
    </row>
    <row r="27" s="1" customFormat="1" ht="70" customHeight="1" spans="1:15">
      <c r="A27" s="51" t="s">
        <v>54</v>
      </c>
      <c r="B27" s="51"/>
      <c r="C27" s="51"/>
      <c r="D27" s="51"/>
      <c r="E27" s="51"/>
      <c r="F27" s="51"/>
      <c r="G27" s="54"/>
      <c r="H27" s="54"/>
      <c r="I27" s="54"/>
      <c r="J27" s="51"/>
      <c r="K27" s="51"/>
      <c r="L27" s="51"/>
      <c r="M27" s="51"/>
      <c r="N27" s="51"/>
    </row>
    <row r="28" s="1" customFormat="1" ht="102" customHeight="1" spans="1:15">
      <c r="A28" s="51" t="s">
        <v>55</v>
      </c>
      <c r="B28" s="51"/>
      <c r="C28" s="51"/>
      <c r="D28" s="51"/>
      <c r="E28" s="51"/>
      <c r="F28" s="51"/>
      <c r="G28" s="54"/>
      <c r="H28" s="54"/>
      <c r="I28" s="54"/>
      <c r="J28" s="51"/>
      <c r="K28" s="51"/>
      <c r="L28" s="51"/>
      <c r="M28" s="51"/>
      <c r="N28" s="51"/>
    </row>
    <row r="29" s="1" customFormat="1" ht="21" spans="1:15">
      <c r="A29" s="55"/>
      <c r="B29" s="55"/>
      <c r="C29" s="55"/>
      <c r="D29" s="55"/>
      <c r="E29" s="55"/>
      <c r="F29" s="55"/>
      <c r="G29" s="56"/>
      <c r="H29" s="57"/>
      <c r="I29" s="57"/>
      <c r="J29" s="57"/>
      <c r="K29" s="57"/>
    </row>
    <row r="30" s="1" customFormat="1" ht="21" spans="1:15">
      <c r="A30" s="55"/>
      <c r="B30" s="55"/>
      <c r="C30" s="55"/>
      <c r="D30" s="55"/>
      <c r="E30" s="55"/>
      <c r="F30" s="55"/>
      <c r="G30" s="56"/>
      <c r="H30" s="4"/>
      <c r="I30" s="4"/>
    </row>
    <row r="31" s="1" customFormat="1" ht="21" spans="1:15">
      <c r="A31" s="55"/>
      <c r="B31" s="55"/>
      <c r="C31" s="58"/>
      <c r="D31" s="58"/>
      <c r="E31" s="58"/>
      <c r="F31" s="58"/>
      <c r="G31" s="59"/>
      <c r="H31" s="4"/>
      <c r="I31" s="4"/>
    </row>
    <row r="32" s="1" customFormat="1" ht="21" spans="1:15">
      <c r="A32" s="55"/>
      <c r="B32" s="55"/>
      <c r="C32" s="55"/>
      <c r="D32" s="55"/>
      <c r="E32" s="55"/>
      <c r="F32" s="55"/>
      <c r="G32" s="56"/>
      <c r="H32" s="4"/>
      <c r="I32" s="4"/>
    </row>
    <row r="33" s="1" customFormat="1" ht="32" customHeight="1" spans="1:11">
      <c r="A33" s="55"/>
      <c r="B33" s="55"/>
      <c r="C33" s="55"/>
      <c r="D33" s="55"/>
      <c r="E33" s="55"/>
      <c r="F33" s="55"/>
      <c r="G33" s="56"/>
      <c r="H33" s="4"/>
      <c r="I33" s="4"/>
      <c r="J33" s="60"/>
      <c r="K33" s="30"/>
    </row>
    <row r="34" s="1" customFormat="1" ht="21" spans="1:11">
      <c r="A34" s="55"/>
      <c r="B34" s="55"/>
      <c r="C34" s="55"/>
      <c r="D34" s="55"/>
      <c r="E34" s="55"/>
      <c r="F34" s="55"/>
      <c r="G34" s="56"/>
      <c r="H34" s="4"/>
      <c r="I34" s="4"/>
      <c r="J34" s="61"/>
      <c r="K34" s="61"/>
    </row>
    <row r="35" s="1" customFormat="1" ht="21" spans="1:11">
      <c r="A35" s="55"/>
      <c r="B35" s="55"/>
      <c r="C35" s="55"/>
      <c r="D35" s="55"/>
      <c r="E35" s="55"/>
      <c r="F35" s="55"/>
      <c r="G35" s="56"/>
      <c r="H35" s="4"/>
      <c r="I35" s="4"/>
    </row>
    <row r="36" s="1" customFormat="1" ht="21" spans="1:11">
      <c r="A36" s="55"/>
      <c r="B36" s="55"/>
      <c r="C36" s="55"/>
      <c r="D36" s="55"/>
      <c r="E36" s="55"/>
      <c r="F36" s="55"/>
      <c r="G36" s="56"/>
      <c r="H36" s="4"/>
      <c r="I36" s="4"/>
    </row>
    <row r="37" s="1" customFormat="1" ht="21" spans="1:11">
      <c r="A37" s="55"/>
      <c r="B37" s="55"/>
      <c r="C37" s="55"/>
      <c r="D37" s="55"/>
      <c r="E37" s="55"/>
      <c r="F37" s="55"/>
      <c r="G37" s="56"/>
      <c r="H37" s="4"/>
      <c r="I37" s="4"/>
    </row>
    <row r="38" s="1" customFormat="1" ht="21" spans="1:11">
      <c r="A38" s="55"/>
      <c r="B38" s="55"/>
      <c r="C38" s="55"/>
      <c r="D38" s="55"/>
      <c r="E38" s="55"/>
      <c r="F38" s="55"/>
      <c r="G38" s="56"/>
      <c r="H38" s="4"/>
      <c r="I38" s="4"/>
      <c r="J38" s="61"/>
      <c r="K38" s="61"/>
    </row>
    <row r="39" s="1" customFormat="1" ht="21" spans="1:11">
      <c r="A39" s="56"/>
      <c r="B39" s="56"/>
      <c r="C39" s="56"/>
      <c r="D39" s="56"/>
      <c r="E39" s="56"/>
      <c r="F39" s="56"/>
      <c r="G39" s="56"/>
      <c r="H39" s="4"/>
      <c r="I39" s="4"/>
    </row>
    <row r="40" s="1" customFormat="1" ht="21" spans="1:11">
      <c r="A40" s="56"/>
      <c r="B40" s="56"/>
      <c r="C40" s="56"/>
      <c r="D40" s="56"/>
      <c r="E40" s="56"/>
      <c r="F40" s="56"/>
      <c r="G40" s="56"/>
      <c r="H40" s="4"/>
      <c r="I40" s="4"/>
    </row>
    <row r="41" s="1" customFormat="1" ht="21" spans="1:11">
      <c r="A41" s="56"/>
      <c r="B41" s="56"/>
      <c r="C41" s="56"/>
      <c r="D41" s="56"/>
      <c r="E41" s="56"/>
      <c r="F41" s="56"/>
      <c r="G41" s="56"/>
      <c r="H41" s="59"/>
      <c r="I41" s="59"/>
      <c r="J41" s="62"/>
      <c r="K41" s="62"/>
    </row>
    <row r="51" s="1" customFormat="1" ht="21" spans="7:11">
      <c r="G51" s="4"/>
      <c r="H51" s="56"/>
      <c r="I51" s="56"/>
      <c r="J51" s="63"/>
      <c r="K51" s="63"/>
    </row>
    <row r="52" s="1" customFormat="1" ht="17.4" spans="7:11">
      <c r="G52" s="4"/>
      <c r="H52" s="4"/>
      <c r="I52" s="4"/>
      <c r="J52" s="64"/>
      <c r="K52" s="64"/>
    </row>
    <row r="54" s="1" customFormat="1" ht="17.4" spans="7:11">
      <c r="G54" s="4"/>
      <c r="H54" s="4"/>
      <c r="I54" s="4"/>
      <c r="J54" s="64"/>
      <c r="K54" s="64"/>
    </row>
    <row r="56" s="1" customFormat="1" ht="15" spans="7:11">
      <c r="G56" s="4"/>
      <c r="H56" s="4"/>
      <c r="I56" s="4"/>
      <c r="J56" s="65"/>
      <c r="K56" s="65"/>
    </row>
  </sheetData>
  <protectedRanges>
    <protectedRange sqref="H23:I23" name="区域1_3_2"/>
    <protectedRange sqref="I22" name="区域1_6_2"/>
    <protectedRange sqref="C44:C45" name="区域1_4_4_2"/>
    <protectedRange sqref="H77:I78" name="区域1_4_5_2"/>
    <protectedRange sqref="L143:M144" name="区域1_4_7_2"/>
    <protectedRange sqref="R176:R177" name="区域1_4_8_2"/>
    <protectedRange sqref="X209:X210" name="区域1_4_9_2"/>
    <protectedRange sqref="AE242:AE243" name="区域1_4_10_2"/>
    <protectedRange sqref="AM275:AM276" name="区域1_4_11_2"/>
    <protectedRange sqref="AV308:AV309" name="区域1_4_12_2"/>
    <protectedRange sqref="BF341:BF342" name="区域1_4_13_2"/>
    <protectedRange sqref="BQ374:BQ375" name="区域1_4_14_2"/>
    <protectedRange sqref="CC407:CC408" name="区域1_4_15_2"/>
    <protectedRange sqref="CP440:CP441" name="区域1_4_16_2"/>
    <protectedRange sqref="DD473:DD474" name="区域1_4_17_2"/>
    <protectedRange sqref="DS506:DS507" name="区域1_4_18_2"/>
    <protectedRange sqref="EI539:EI540" name="区域1_4_19_2"/>
    <protectedRange sqref="EZ572:EZ573" name="区域1_4_20_2"/>
    <protectedRange sqref="FR605:FR606" name="区域1_4_21_2"/>
    <protectedRange sqref="GK638:GK639" name="区域1_4_22_2"/>
    <protectedRange sqref="HE671:HE672" name="区域1_4_23_2"/>
    <protectedRange sqref="HZ704:HZ705" name="区域1_4_24_2"/>
    <protectedRange sqref="IV737:IV738" name="区域1_4_25_2"/>
    <protectedRange sqref="C42:C43" name="区域1_4_27_2"/>
    <protectedRange sqref="H75:I76" name="区域1_4_28_2"/>
    <protectedRange sqref="L141:M142" name="区域1_4_30_2"/>
    <protectedRange sqref="R174:R175" name="区域1_4_31_2"/>
    <protectedRange sqref="X207:X208" name="区域1_4_32_2"/>
    <protectedRange sqref="AE240:AE241" name="区域1_4_33_2"/>
    <protectedRange sqref="AM273:AM274" name="区域1_4_34_2"/>
    <protectedRange sqref="AV306:AV307" name="区域1_4_35_2"/>
    <protectedRange sqref="BF339:BF340" name="区域1_4_36_2"/>
    <protectedRange sqref="BQ372:BQ373" name="区域1_4_37_2"/>
    <protectedRange sqref="CC405:CC406" name="区域1_4_38_2"/>
    <protectedRange sqref="CP438:CP439" name="区域1_4_39_2"/>
    <protectedRange sqref="DD471:DD472" name="区域1_4_40_2"/>
    <protectedRange sqref="DS504:DS505" name="区域1_4_41_2"/>
    <protectedRange sqref="EI537:EI538" name="区域1_4_42_2"/>
    <protectedRange sqref="EZ570:EZ571" name="区域1_4_43_2"/>
    <protectedRange sqref="FR603:FR604" name="区域1_4_44_2"/>
    <protectedRange sqref="GK636:GK637" name="区域1_4_45_2"/>
    <protectedRange sqref="HE669:HE670" name="区域1_4_46_2"/>
    <protectedRange sqref="HZ702:HZ703" name="区域1_4_47_2"/>
    <protectedRange sqref="IV735:IV736" name="区域1_4_48_2"/>
    <protectedRange sqref="C40:C41" name="区域1_4_50_2"/>
    <protectedRange sqref="H73:I74" name="区域1_4_51_2"/>
    <protectedRange sqref="L139:M140" name="区域1_4_53_2"/>
    <protectedRange sqref="R172:R173" name="区域1_4_54_2"/>
    <protectedRange sqref="X205:X206" name="区域1_4_55_2"/>
    <protectedRange sqref="AE238:AE239" name="区域1_4_56_2"/>
    <protectedRange sqref="AM271:AM272" name="区域1_4_57_2"/>
    <protectedRange sqref="AV304:AV305" name="区域1_4_58_2"/>
    <protectedRange sqref="BF337:BF338" name="区域1_4_59_2"/>
    <protectedRange sqref="BQ370:BQ371" name="区域1_4_60_2"/>
    <protectedRange sqref="CC403:CC404" name="区域1_4_61_2"/>
    <protectedRange sqref="CP436:CP437" name="区域1_4_62_2"/>
    <protectedRange sqref="DD469:DD470" name="区域1_4_63_2"/>
    <protectedRange sqref="DS502:DS503" name="区域1_4_64_2"/>
    <protectedRange sqref="EI535:EI536" name="区域1_4_65_2"/>
    <protectedRange sqref="EZ568:EZ569" name="区域1_4_66_2"/>
    <protectedRange sqref="FR601:FR602" name="区域1_4_67_2"/>
    <protectedRange sqref="GK634:GK635" name="区域1_4_68_2"/>
    <protectedRange sqref="HE667:HE668" name="区域1_4_69_2"/>
    <protectedRange sqref="HZ700:HZ701" name="区域1_4_70_2"/>
    <protectedRange sqref="IV733:IV734" name="区域1_4_71_2"/>
  </protectedRanges>
  <mergeCells count="28">
    <mergeCell ref="C4:F4"/>
    <mergeCell ref="J4:N4"/>
    <mergeCell ref="B5:F5"/>
    <mergeCell ref="J5:N5"/>
    <mergeCell ref="B6:F6"/>
    <mergeCell ref="J6:N6"/>
    <mergeCell ref="B7:F7"/>
    <mergeCell ref="J7:N7"/>
    <mergeCell ref="C8:F8"/>
    <mergeCell ref="J8:N8"/>
    <mergeCell ref="C9:F9"/>
    <mergeCell ref="J9:N9"/>
    <mergeCell ref="A11:N11"/>
    <mergeCell ref="A22:C22"/>
    <mergeCell ref="A24:C24"/>
    <mergeCell ref="A25:N25"/>
    <mergeCell ref="A26:N26"/>
    <mergeCell ref="A27:N27"/>
    <mergeCell ref="A28:N28"/>
    <mergeCell ref="H29:K29"/>
    <mergeCell ref="J34:K34"/>
    <mergeCell ref="J38:K38"/>
    <mergeCell ref="H41:K41"/>
    <mergeCell ref="H51:K51"/>
    <mergeCell ref="J52:K52"/>
    <mergeCell ref="J54:K54"/>
    <mergeCell ref="A1:K2"/>
    <mergeCell ref="A39:C41"/>
  </mergeCells>
  <dataValidations count="12">
    <dataValidation allowBlank="1" showInputMessage="1" showErrorMessage="1" promptTitle="Product Category" prompt="商品品类；&#10;Product Category;" sqref="A13:B13"/>
    <dataValidation allowBlank="1" showInputMessage="1" showErrorMessage="1" promptTitle="Enter Amazon FBA Box Number" prompt="亚马逊箱标签号；&#10;&#10;For example, FBA15D820GX2U000001 " sqref="C13"/>
    <dataValidation allowBlank="1" showInputMessage="1" showErrorMessage="1" promptTitle="Name of the brand; 品牌" prompt="Brand; 品牌" sqref="D13"/>
    <dataValidation allowBlank="1" showInputMessage="1" showErrorMessage="1" promptTitle="Number of cartons" prompt="有多少箱子？&#10;How many Cartons are in this shipment?" sqref="F13"/>
    <dataValidation allowBlank="1" showInputMessage="1" showErrorMessage="1" promptTitle="Number of units of the SKU" prompt="SKU 的单位数量&#10;SKU units Number" sqref="G13"/>
    <dataValidation allowBlank="1" showInputMessage="1" showErrorMessage="1" promptTitle="Box weight in Kgs" prompt="箱子净重（KG）" sqref="H13"/>
    <dataValidation allowBlank="1" showInputMessage="1" showErrorMessage="1" promptTitle="Box dimensions in CMS" prompt="箱子长*宽*高&#10;Box Length*Width*Height" sqref="I13"/>
    <dataValidation allowBlank="1" showInputMessage="1" showErrorMessage="1" promptTitle="Goods value per unit, in USD" prompt="单件货物价值（美元）" sqref="J13"/>
    <dataValidation allowBlank="1" showInputMessage="1" showErrorMessage="1" promptTitle="Goods value per box, in USD" prompt="总箱货物价值&#10;Goods value per box" sqref="K13"/>
    <dataValidation allowBlank="1" showInputMessage="1" showErrorMessage="1" promptTitle="Insert product photo" prompt="请插入产品照片" sqref="L13"/>
    <dataValidation allowBlank="1" showInputMessage="1" showErrorMessage="1" promptTitle="Does product have batteries" prompt="Please select Y if the product has batteries, and N if the product does not have batteries&#10;&#10;是否内涵锂电池？&#10;如何含锂电池请填Y，否则请填入N。&#10;&#10;" sqref="M13"/>
    <dataValidation allowBlank="1" showInputMessage="1" showErrorMessage="1" promptTitle="Does product have powder/liquid?" prompt="是否内涵粉末或液体？&#10;如何粉末请填Y/N，如含液体请填N/Y，若同时含有粉末/液体，请填Y/Y。否则，请填N/N。&#10;&#10;If product contains powder no liquid, please input Y/N; if there is no powder but liquid, please input N/Y; if there are both powder and liquid, please input Y/Y; otherwise, please input N/N." sqref="N13"/>
  </dataValidation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arrUserId title="区域1_3_2" rangeCreator="" othersAccessPermission="edit"/>
    <arrUserId title="区域1_6_2" rangeCreator="" othersAccessPermission="edit"/>
    <arrUserId title="区域1_4_4_2" rangeCreator="" othersAccessPermission="edit"/>
    <arrUserId title="区域1_4_5_2" rangeCreator="" othersAccessPermission="edit"/>
    <arrUserId title="区域1_4_7_2" rangeCreator="" othersAccessPermission="edit"/>
    <arrUserId title="区域1_4_8_2" rangeCreator="" othersAccessPermission="edit"/>
    <arrUserId title="区域1_4_9_2" rangeCreator="" othersAccessPermission="edit"/>
    <arrUserId title="区域1_4_10_2" rangeCreator="" othersAccessPermission="edit"/>
    <arrUserId title="区域1_4_11_2" rangeCreator="" othersAccessPermission="edit"/>
    <arrUserId title="区域1_4_12_2" rangeCreator="" othersAccessPermission="edit"/>
    <arrUserId title="区域1_4_13_2" rangeCreator="" othersAccessPermission="edit"/>
    <arrUserId title="区域1_4_14_2" rangeCreator="" othersAccessPermission="edit"/>
    <arrUserId title="区域1_4_15_2" rangeCreator="" othersAccessPermission="edit"/>
    <arrUserId title="区域1_4_16_2" rangeCreator="" othersAccessPermission="edit"/>
    <arrUserId title="区域1_4_17_2" rangeCreator="" othersAccessPermission="edit"/>
    <arrUserId title="区域1_4_18_2" rangeCreator="" othersAccessPermission="edit"/>
    <arrUserId title="区域1_4_19_2" rangeCreator="" othersAccessPermission="edit"/>
    <arrUserId title="区域1_4_20_2" rangeCreator="" othersAccessPermission="edit"/>
    <arrUserId title="区域1_4_21_2" rangeCreator="" othersAccessPermission="edit"/>
    <arrUserId title="区域1_4_22_2" rangeCreator="" othersAccessPermission="edit"/>
    <arrUserId title="区域1_4_23_2" rangeCreator="" othersAccessPermission="edit"/>
    <arrUserId title="区域1_4_24_2" rangeCreator="" othersAccessPermission="edit"/>
    <arrUserId title="区域1_4_25_2" rangeCreator="" othersAccessPermission="edit"/>
    <arrUserId title="区域1_4_27_2" rangeCreator="" othersAccessPermission="edit"/>
    <arrUserId title="区域1_4_28_2" rangeCreator="" othersAccessPermission="edit"/>
    <arrUserId title="区域1_4_30_2" rangeCreator="" othersAccessPermission="edit"/>
    <arrUserId title="区域1_4_31_2" rangeCreator="" othersAccessPermission="edit"/>
    <arrUserId title="区域1_4_32_2" rangeCreator="" othersAccessPermission="edit"/>
    <arrUserId title="区域1_4_33_2" rangeCreator="" othersAccessPermission="edit"/>
    <arrUserId title="区域1_4_34_2" rangeCreator="" othersAccessPermission="edit"/>
    <arrUserId title="区域1_4_35_2" rangeCreator="" othersAccessPermission="edit"/>
    <arrUserId title="区域1_4_36_2" rangeCreator="" othersAccessPermission="edit"/>
    <arrUserId title="区域1_4_37_2" rangeCreator="" othersAccessPermission="edit"/>
    <arrUserId title="区域1_4_38_2" rangeCreator="" othersAccessPermission="edit"/>
    <arrUserId title="区域1_4_39_2" rangeCreator="" othersAccessPermission="edit"/>
    <arrUserId title="区域1_4_40_2" rangeCreator="" othersAccessPermission="edit"/>
    <arrUserId title="区域1_4_41_2" rangeCreator="" othersAccessPermission="edit"/>
    <arrUserId title="区域1_4_42_2" rangeCreator="" othersAccessPermission="edit"/>
    <arrUserId title="区域1_4_43_2" rangeCreator="" othersAccessPermission="edit"/>
    <arrUserId title="区域1_4_44_2" rangeCreator="" othersAccessPermission="edit"/>
    <arrUserId title="区域1_4_45_2" rangeCreator="" othersAccessPermission="edit"/>
    <arrUserId title="区域1_4_46_2" rangeCreator="" othersAccessPermission="edit"/>
    <arrUserId title="区域1_4_47_2" rangeCreator="" othersAccessPermission="edit"/>
    <arrUserId title="区域1_4_48_2" rangeCreator="" othersAccessPermission="edit"/>
    <arrUserId title="区域1_4_50_2" rangeCreator="" othersAccessPermission="edit"/>
    <arrUserId title="区域1_4_51_2" rangeCreator="" othersAccessPermission="edit"/>
    <arrUserId title="区域1_4_53_2" rangeCreator="" othersAccessPermission="edit"/>
    <arrUserId title="区域1_4_54_2" rangeCreator="" othersAccessPermission="edit"/>
    <arrUserId title="区域1_4_55_2" rangeCreator="" othersAccessPermission="edit"/>
    <arrUserId title="区域1_4_56_2" rangeCreator="" othersAccessPermission="edit"/>
    <arrUserId title="区域1_4_57_2" rangeCreator="" othersAccessPermission="edit"/>
    <arrUserId title="区域1_4_58_2" rangeCreator="" othersAccessPermission="edit"/>
    <arrUserId title="区域1_4_59_2" rangeCreator="" othersAccessPermission="edit"/>
    <arrUserId title="区域1_4_60_2" rangeCreator="" othersAccessPermission="edit"/>
    <arrUserId title="区域1_4_61_2" rangeCreator="" othersAccessPermission="edit"/>
    <arrUserId title="区域1_4_62_2" rangeCreator="" othersAccessPermission="edit"/>
    <arrUserId title="区域1_4_63_2" rangeCreator="" othersAccessPermission="edit"/>
    <arrUserId title="区域1_4_64_2" rangeCreator="" othersAccessPermission="edit"/>
    <arrUserId title="区域1_4_65_2" rangeCreator="" othersAccessPermission="edit"/>
    <arrUserId title="区域1_4_66_2" rangeCreator="" othersAccessPermission="edit"/>
    <arrUserId title="区域1_4_67_2" rangeCreator="" othersAccessPermission="edit"/>
    <arrUserId title="区域1_4_68_2" rangeCreator="" othersAccessPermission="edit"/>
    <arrUserId title="区域1_4_69_2" rangeCreator="" othersAccessPermission="edit"/>
    <arrUserId title="区域1_4_70_2" rangeCreator="" othersAccessPermission="edit"/>
    <arrUserId title="区域1_4_71_2"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JW PEI</dc:creator>
  <cp:lastModifiedBy>戴玉露</cp:lastModifiedBy>
  <dcterms:created xsi:type="dcterms:W3CDTF">2026-07-23T02:54:45Z</dcterms:created>
  <dcterms:modified xsi:type="dcterms:W3CDTF">2026-07-23T02:55:29Z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F052D4199DFC4C90A7A5DAFF1BAB75DC_11</vt:lpwstr>
  </property>
  <property fmtid="{D5CDD505-2E9C-101B-9397-08002B2CF9AE}" pid="3" name="KSOProductBuildVer">
    <vt:lpwstr>2052-12.1.0.26895</vt:lpwstr>
  </property>
  <property fmtid="{D5CDD505-2E9C-101B-9397-08002B2CF9AE}" pid="4" name="CalculationRule">
    <vt:i4>1</vt:i4>
  </property>
</Properties>
</file>